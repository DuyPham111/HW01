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am3\HK3\Kiểm thử phần mềm\HW01\23127183_HW01_AI\excel\"/>
    </mc:Choice>
  </mc:AlternateContent>
  <xr:revisionPtr revIDLastSave="0" documentId="13_ncr:1_{F9C73F58-F4A3-42CB-9F3B-54940C8DD2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Cases" sheetId="1" r:id="rId1"/>
    <sheet name="Checklist" sheetId="2" r:id="rId2"/>
    <sheet name="Test Summary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3" l="1"/>
  <c r="C16" i="3" s="1"/>
  <c r="B15" i="3"/>
  <c r="D18" i="3" s="1"/>
  <c r="B14" i="3"/>
  <c r="C14" i="3" s="1"/>
  <c r="B13" i="3"/>
  <c r="C17" i="3" s="1"/>
  <c r="C15" i="3" l="1"/>
  <c r="B18" i="3"/>
</calcChain>
</file>

<file path=xl/sharedStrings.xml><?xml version="1.0" encoding="utf-8"?>
<sst xmlns="http://schemas.openxmlformats.org/spreadsheetml/2006/main" count="396" uniqueCount="276">
  <si>
    <t>TC ID</t>
  </si>
  <si>
    <t>Objective</t>
  </si>
  <si>
    <t>Input</t>
  </si>
  <si>
    <t>Steps</t>
  </si>
  <si>
    <t>Expected Result</t>
  </si>
  <si>
    <t>Actual Result</t>
  </si>
  <si>
    <t>Verdict</t>
  </si>
  <si>
    <t>TC01 (Video)</t>
  </si>
  <si>
    <t>Kiểm tra khởi động bình thường ở Tốc độ 1</t>
  </si>
  <si>
    <t>Quạt đã cắm điện 220V, đang ở trạng thái tắt hoàn toàn</t>
  </si>
  <si>
    <t>1. Cắm phích điện vào ổ.
2. Bật công tắc/kéo dây → chọn Tốc 1.
3. Quan sát cánh quạt và nghe tiếng động.</t>
  </si>
  <si>
    <t>Cánh quạt quay đều ở tốc độ thấp, có luồng gió cảm nhận được, không có tiếng cọ sát hay va chạm. Không có mùi khét.</t>
  </si>
  <si>
    <t>PASS: Quạt quay nhanh và ổn định, không rung lắc.</t>
  </si>
  <si>
    <t>PASS</t>
  </si>
  <si>
    <t>TC02 (Video)</t>
  </si>
  <si>
    <t>Kiểm tra Tốc độ 2 cho luồng gió mạnh hơn Tốc độ 1</t>
  </si>
  <si>
    <t>Quạt đang chạy ổn định ở Tốc 1</t>
  </si>
  <si>
    <t>1. Chuyển từ Tốc 1 → Tốc 2.
2. Đặt tay cách quạt 50 cm.
3. Nghe tiếng motor thay đổi.</t>
  </si>
  <si>
    <t>Tốc độ cánh tăng rõ rệt, luồng gió mạnh hơn Tốc 1.</t>
  </si>
  <si>
    <t>PASS: Quạt quay nhanh, ổn định.</t>
  </si>
  <si>
    <t>TC03 (Video)</t>
  </si>
  <si>
    <t>Kiểm tra Tốc độ 3 đạt lưu lượng gió tối đa</t>
  </si>
  <si>
    <t>Quạt đang chạy ở Tốc 2</t>
  </si>
  <si>
    <t>1. Chuyển Tốc 2 → Tốc 3.
2. Đặt tờ giấy A4 cách mặt trước quạt 1m.
3. Sau 30 giây kiểm tra motor.</t>
  </si>
  <si>
    <t>Luồng gió mạnh nhất, motor chỉ ấm nhẹ.</t>
  </si>
  <si>
    <t>PASS: Quạt quay nhanh, ổn định nhưng có tiếng rè.</t>
  </si>
  <si>
    <t>TC04</t>
  </si>
  <si>
    <t>Kiểm tra chuyển tốc độ tuần tự 1→2→3→Off</t>
  </si>
  <si>
    <t>Quạt đang ở Tốc 1</t>
  </si>
  <si>
    <t>1. Tốc 1 → Tốc 2.
2. Tốc 2 → Tốc 3.
3. Tốc 3 → Off.</t>
  </si>
  <si>
    <t>Mỗi bước chuyển mượt, không giật.</t>
  </si>
  <si>
    <t>PASS: Quạt chuyển bình thường nhưng có chút giật nhẹ.</t>
  </si>
  <si>
    <t>TC05 (Video)</t>
  </si>
  <si>
    <t>Kiểm tra dừng an toàn khi tắt đột ngột từ Tốc 3</t>
  </si>
  <si>
    <t>Quạt đang chạy Tốc 3 đủ 5 phút</t>
  </si>
  <si>
    <t>1. Tắt quạt ngay.
2. Quan sát cánh dừng.</t>
  </si>
  <si>
    <t>Cánh quạt dừng dần tự nhiên.</t>
  </si>
  <si>
    <t>PASS: Quạt dừng chậm dần và không gặp vấn đề gì.</t>
  </si>
  <si>
    <t>TC06</t>
  </si>
  <si>
    <t>Kiểm tra ổn định nhiệt sau 30 phút</t>
  </si>
  <si>
    <t>Quạt Tốc 3</t>
  </si>
  <si>
    <t>1. Chạy liên tục 30 phút.</t>
  </si>
  <si>
    <t>Motor ấm nhưng không bỏng tay.</t>
  </si>
  <si>
    <t>PASS: Motor chỉ ấm và vẫn ổn định.</t>
  </si>
  <si>
    <t>TC07</t>
  </si>
  <si>
    <t>Kiểm tra độ rung và cân bằng cánh quạt</t>
  </si>
  <si>
    <t>1. Đặt giấy A4 trên vỏ motor.
2. Quan sát rung.</t>
  </si>
  <si>
    <t>Đế quạt không di chuyển.</t>
  </si>
  <si>
    <t>PASS: Quạt ổn định bình thường.</t>
  </si>
  <si>
    <t>TC08</t>
  </si>
  <si>
    <t>Kiểm tra độ bền công tắc</t>
  </si>
  <si>
    <t>Quạt đã cắm điện</t>
  </si>
  <si>
    <t>1. Bật/tắt 5 lần liên tiếp.</t>
  </si>
  <si>
    <t>Không kẹt cơ cấu.</t>
  </si>
  <si>
    <t>PASS: Quạt vẫn chạy ổn định.</t>
  </si>
  <si>
    <t>TC09 (Video)</t>
  </si>
  <si>
    <t>Kiểm tra độ chắc chắn lồng bảo vệ</t>
  </si>
  <si>
    <t>Quạt tắt</t>
  </si>
  <si>
    <t>1. Ấn nhẹ vào lồng.
2. Kiểm tra ốc/kẹp.</t>
  </si>
  <si>
    <t>Lồng chắc chắn, bút không lọt qua.</t>
  </si>
  <si>
    <t>FAIL: Khung quạt lỏng lẻo, bút lọt qua khe.</t>
  </si>
  <si>
    <t>FAIL</t>
  </si>
  <si>
    <t>TC10</t>
  </si>
  <si>
    <t>Kiểm tra tiếng ồn bất thường</t>
  </si>
  <si>
    <t>Phòng yên tĩnh</t>
  </si>
  <si>
    <t>1. Nghe ở các mức tốc độ.</t>
  </si>
  <si>
    <t>Không có tiếng cạch, kẽo kẹt.</t>
  </si>
  <si>
    <t>FAIL: Xuất hiện tiếng kẽo kẹt kim loại.</t>
  </si>
  <si>
    <t>TC11</t>
  </si>
  <si>
    <t>Kiểm tra hoạt động qua ổ nối dài</t>
  </si>
  <si>
    <t>Ổ nối dài 5m</t>
  </si>
  <si>
    <t>1. Chạy qua ổ nối dài.
2. So sánh với cắm trực tiếp.</t>
  </si>
  <si>
    <t>Không khác biệt đáng kể.</t>
  </si>
  <si>
    <t>PASS: Hoạt động bình thường.</t>
  </si>
  <si>
    <t>TC12</t>
  </si>
  <si>
    <t>Kiểm tra cơ chế quay tuốc năng</t>
  </si>
  <si>
    <t>Quạt chạy Tốc 1</t>
  </si>
  <si>
    <t>1. Bật chế độ quay.</t>
  </si>
  <si>
    <t>Quạt xoay đều trái-phải.</t>
  </si>
  <si>
    <t>FAIL: Phát tiếng cạch lớn, đầu quạt đứng yên.</t>
  </si>
  <si>
    <t>TC13</t>
  </si>
  <si>
    <t>Kiểm tra mất điện rồi có điện lại</t>
  </si>
  <si>
    <t>1. Rút điện.
2. Cắm lại sau 1 giây.</t>
  </si>
  <si>
    <t>Quạt hoạt động trở lại bình thường.</t>
  </si>
  <si>
    <t>PASS: Quạt hoạt động trở lại bình thường.</t>
  </si>
  <si>
    <t>TC14</t>
  </si>
  <si>
    <t>Kiểm tra vật cản khi bật quạt</t>
  </si>
  <si>
    <t>Có cuộn giấy cản cánh</t>
  </si>
  <si>
    <t>1. Chèn giấy.
2. Bật Tốc 1.</t>
  </si>
  <si>
    <t>Không có khói, tia lửa hoặc mùi khét.</t>
  </si>
  <si>
    <t>FAIL: Motor rè và không quay được do vật cản.</t>
  </si>
  <si>
    <t>TC15</t>
  </si>
  <si>
    <t>Kiểm tra độ chắc chắn dây nguồn</t>
  </si>
  <si>
    <t>Quạt cắm điện nhưng tắt</t>
  </si>
  <si>
    <t>1. Kéo nhẹ dây nguồn 5 lần.</t>
  </si>
  <si>
    <t>Dây chắc chắn, không lộ lõi.</t>
  </si>
  <si>
    <t>FAIL: Dây nguồn bị lỏng và hở lớp bảo vệ.</t>
  </si>
  <si>
    <t>STT</t>
  </si>
  <si>
    <t>Hạng mục kiểm tra</t>
  </si>
  <si>
    <t>Phân loại</t>
  </si>
  <si>
    <t>Trạng thái</t>
  </si>
  <si>
    <t>Ghi chú</t>
  </si>
  <si>
    <t>A. TRƯỚC KHI THỰC THI (Pre-Execution)</t>
  </si>
  <si>
    <t>Đọc và hiểu toàn bộ yêu cầu bài tập HW01-AI</t>
  </si>
  <si>
    <t>Pre-Execution</t>
  </si>
  <si>
    <t>✅ Hoàn thành</t>
  </si>
  <si>
    <t>Xác nhận thiết bị kiểm thử: Quạt Lờ Senko L1638</t>
  </si>
  <si>
    <t>SX 09/2024</t>
  </si>
  <si>
    <t>Chụp ảnh thiết bị + thẻ sinh viên cùng khung hình</t>
  </si>
  <si>
    <t>device+studentid.jpg</t>
  </si>
  <si>
    <t>Khai báo thông tin thiết bị đầy đủ (hãng, model, serial)</t>
  </si>
  <si>
    <t>Lô SX: 1**XX**9</t>
  </si>
  <si>
    <t>Thiết kế 15 test case đầy đủ 7 cột (TC01–TC15)</t>
  </si>
  <si>
    <t>TC01–12: Claude, TC13–15: sinh viên</t>
  </si>
  <si>
    <t>Xác nhận ≥3 edge case AI không sinh ra (TC13, TC14, TC15)</t>
  </si>
  <si>
    <t>Edge case G9.3</t>
  </si>
  <si>
    <t>Chụp màn hình hội thoại AI — bằng chứng AI bỏ sót edge case</t>
  </si>
  <si>
    <t>screenshot_of_the_AI_conversation.png</t>
  </si>
  <si>
    <t>Chuẩn bị môi trường &amp; dụng cụ (giấy A4, bút bi, ổ nối dài 5m)</t>
  </si>
  <si>
    <t>B. THỰC THI TEST CASE (Execution — Test Cases)</t>
  </si>
  <si>
    <t>TC01</t>
  </si>
  <si>
    <t>Kiểm tra khởi động bình thường Tốc 1</t>
  </si>
  <si>
    <t>During — TC</t>
  </si>
  <si>
    <t>✅ PASS</t>
  </si>
  <si>
    <t>TC02</t>
  </si>
  <si>
    <t>Kiểm tra Tốc độ 2 — luồng gió mạnh hơn Tốc 1</t>
  </si>
  <si>
    <t>TC03</t>
  </si>
  <si>
    <t>Kiểm tra Tốc độ 3 full load 47W</t>
  </si>
  <si>
    <t>Có tiếng rè nhẹ</t>
  </si>
  <si>
    <t>Chuyển tốc độ tuần tự 1→2→3→Off</t>
  </si>
  <si>
    <t>Giật nhẹ khi chuyển</t>
  </si>
  <si>
    <t>TC05</t>
  </si>
  <si>
    <t>Dừng an toàn khi tắt đột ngột từ Tốc 3</t>
  </si>
  <si>
    <t>Ổn định nhiệt sau 30 phút vận hành Tốc 3</t>
  </si>
  <si>
    <t>Motor chỉ ấm</t>
  </si>
  <si>
    <t>Độ rung và cân bằng cánh quạt 39cm</t>
  </si>
  <si>
    <t>Độ bền công tắc — 5 lần bật tắt</t>
  </si>
  <si>
    <t>TC09</t>
  </si>
  <si>
    <t>Độ chắc chắn lồng bảo vệ 120 nan</t>
  </si>
  <si>
    <t>❌ FAIL</t>
  </si>
  <si>
    <t>DFT-01: Lồng lỏng, bút bi lọt qua</t>
  </si>
  <si>
    <t>Tiếng ồn bất thường ở từng mức tốc độ</t>
  </si>
  <si>
    <t>DFT-02: Tiếng kẽo kẹt kim loại</t>
  </si>
  <si>
    <t>Hoạt động qua ổ cắm nối dài 5m</t>
  </si>
  <si>
    <t>Cơ chế quay tuốc năng</t>
  </si>
  <si>
    <t>DFT-03: Trục trượt, đầu quạt không xoay</t>
  </si>
  <si>
    <t>Mất điện và có điện trở lại (Edge case #1)</t>
  </si>
  <si>
    <t>Vật cản khi bật quạt — motor bị kẹt (Edge case #2)</t>
  </si>
  <si>
    <t>DFT-04: Motor rè, không quay</t>
  </si>
  <si>
    <t>Độ chắc chắn dây nguồn tại điểm nối (Edge case #3)</t>
  </si>
  <si>
    <t>DFT-05: ⚠️ Dây lỏng, cách điện hở</t>
  </si>
  <si>
    <t>C. THỰC THI &amp; QUAY VIDEO (Execution — Videos)</t>
  </si>
  <si>
    <t>Video 1</t>
  </si>
  <si>
    <t>TC01 — Khởi động Tốc 1</t>
  </si>
  <si>
    <t>During — Video</t>
  </si>
  <si>
    <t>https://youtube.com/shorts/D09RS5iB4sw</t>
  </si>
  <si>
    <t>Video 2</t>
  </si>
  <si>
    <t>TC02 — Kiểm tra Tốc 2</t>
  </si>
  <si>
    <t>https://youtube.com/shorts/tp0myYutV8Y</t>
  </si>
  <si>
    <t>Video 3</t>
  </si>
  <si>
    <t>TC03 — Tốc 3 full load</t>
  </si>
  <si>
    <t>https://youtube.com/shorts/q7_gmibij5I</t>
  </si>
  <si>
    <t>Video 4</t>
  </si>
  <si>
    <t>TC05 — Dừng đột ngột Tốc 3</t>
  </si>
  <si>
    <t>https://youtube.com/shorts/keZzYT_w0oU</t>
  </si>
  <si>
    <t>Video 5</t>
  </si>
  <si>
    <t>TC09 — Kiểm tra lồng bảo vệ (FAIL)</t>
  </si>
  <si>
    <t>https://youtube.com/shorts/-0WfP8YhkKE</t>
  </si>
  <si>
    <t>D. LOG DEFECT GITHUB ISSUES</t>
  </si>
  <si>
    <t>DFT-01</t>
  </si>
  <si>
    <t>TC09 — Lồng quạt lỏng, bút bi lọt qua nan</t>
  </si>
  <si>
    <t>During — Defect</t>
  </si>
  <si>
    <t>✅ Logged</t>
  </si>
  <si>
    <t>github.com/DuyPham111/HW01/issues/1</t>
  </si>
  <si>
    <t>DFT-02</t>
  </si>
  <si>
    <t>TC10 — Tiếng kẽo kẹt kim loại</t>
  </si>
  <si>
    <t>github.com/DuyPham111/HW01/issues/2</t>
  </si>
  <si>
    <t>DFT-03</t>
  </si>
  <si>
    <t>TC12 — Tuốc năng hỏng hoàn toàn</t>
  </si>
  <si>
    <t>github.com/DuyPham111/HW01/issues/3</t>
  </si>
  <si>
    <t>DFT-04</t>
  </si>
  <si>
    <t>TC14 — Motor kẹt khi có vật cản</t>
  </si>
  <si>
    <t>github.com/DuyPham111/HW01/issues/4</t>
  </si>
  <si>
    <t>DFT-05</t>
  </si>
  <si>
    <t>TC15 — Dây nguồn lỏng, cách điện hở (CRITICAL)</t>
  </si>
  <si>
    <t>github.com/DuyPham111/HW01/issues/5</t>
  </si>
  <si>
    <t>E. SAU KHI THỰC THI (Post-Execution)</t>
  </si>
  <si>
    <t>Điền đầy đủ Actual + Verdict cho 15 TC</t>
  </si>
  <si>
    <t>Post-Execution</t>
  </si>
  <si>
    <t>Chụp ảnh trang GitHub Issues hiện username</t>
  </si>
  <si>
    <t>bug_screenshots.png</t>
  </si>
  <si>
    <t>Dán link 5 video YouTube Unlisted vào report</t>
  </si>
  <si>
    <t>Mục 3.3 report</t>
  </si>
  <si>
    <t>Hoàn thiện Defect Log trong report (mục 3.5)</t>
  </si>
  <si>
    <t>5 DFT — 1 Critical</t>
  </si>
  <si>
    <t>Commit Git + push lên GitHub repo</t>
  </si>
  <si>
    <t>12 commits</t>
  </si>
  <si>
    <t>TEST SUMMARY REPORT — HW01-AI</t>
  </si>
  <si>
    <t>Sinh viên</t>
  </si>
  <si>
    <t>Phạm Vũ Ngọc Duy</t>
  </si>
  <si>
    <t>Mã số sinh viên</t>
  </si>
  <si>
    <t>23127183</t>
  </si>
  <si>
    <t>Lớp</t>
  </si>
  <si>
    <t>KTPM4</t>
  </si>
  <si>
    <t>Môn học</t>
  </si>
  <si>
    <t>CS423 / CSC15003 — Software Testing 2026</t>
  </si>
  <si>
    <t>Thiết bị kiểm thử</t>
  </si>
  <si>
    <t>Quạt Lờ Senko L1638 · 39cm · 47W · 220V · SX 09/2024</t>
  </si>
  <si>
    <t>Ngày thực thi</t>
  </si>
  <si>
    <t>04–05/06/2026</t>
  </si>
  <si>
    <t>Môi trường kiểm thử</t>
  </si>
  <si>
    <t>Phòng thông thoáng, nhiệt độ ~30°C, điện 220V trực tiếp</t>
  </si>
  <si>
    <t>GitHub Repository</t>
  </si>
  <si>
    <t>https://github.com/DuyPham111/HW01</t>
  </si>
  <si>
    <t>KẾT QUẢ THỰC THI TEST CASE</t>
  </si>
  <si>
    <t>Chỉ số</t>
  </si>
  <si>
    <t>Số lượng</t>
  </si>
  <si>
    <t>Tỷ lệ</t>
  </si>
  <si>
    <t>Tổng số test case thiết kế</t>
  </si>
  <si>
    <t>100%</t>
  </si>
  <si>
    <t>TC01–TC15</t>
  </si>
  <si>
    <t>Tổng số TC đã thực thi</t>
  </si>
  <si>
    <t>Thực thi toàn bộ</t>
  </si>
  <si>
    <t>Pass</t>
  </si>
  <si>
    <t>TC01–08, TC11, TC13</t>
  </si>
  <si>
    <t>Fail</t>
  </si>
  <si>
    <t>TC09,10,12,14,15</t>
  </si>
  <si>
    <t>Blocked / Skipped</t>
  </si>
  <si>
    <t>0</t>
  </si>
  <si>
    <t>Không có</t>
  </si>
  <si>
    <t>Pass Rate</t>
  </si>
  <si>
    <t>TỔNG KẾT DEFECT</t>
  </si>
  <si>
    <t>DFT-#</t>
  </si>
  <si>
    <t>TC</t>
  </si>
  <si>
    <t>Severity</t>
  </si>
  <si>
    <t>GitHub Issue</t>
  </si>
  <si>
    <t>High</t>
  </si>
  <si>
    <t>Open</t>
  </si>
  <si>
    <t>https://github.com/DuyPham111/HW01/issues/1</t>
  </si>
  <si>
    <t>Medium</t>
  </si>
  <si>
    <t>https://github.com/DuyPham111/HW01/issues/2</t>
  </si>
  <si>
    <t>https://github.com/DuyPham111/HW01/issues/3</t>
  </si>
  <si>
    <t>https://github.com/DuyPham111/HW01/issues/4</t>
  </si>
  <si>
    <t>Critical</t>
  </si>
  <si>
    <t>https://github.com/DuyPham111/HW01/issues/5</t>
  </si>
  <si>
    <t>Tổng hợp theo Severity</t>
  </si>
  <si>
    <t>DFT-05 — Dây nguồn lỏng, cách điện hở 220V ⚠️</t>
  </si>
  <si>
    <t>DFT-01 (lồng lỏng), DFT-03 (tuốc năng hỏng)</t>
  </si>
  <si>
    <t>DFT-02 (tiếng kẽo kẹt), DFT-04 (motor kẹt)</t>
  </si>
  <si>
    <t>Low</t>
  </si>
  <si>
    <t>TỔNG CỘNG</t>
  </si>
  <si>
    <t>ĐỘ PHỦ KIỂM THỬ (Test Coverage)</t>
  </si>
  <si>
    <t>Phạm vi kiểm thử</t>
  </si>
  <si>
    <t>TC liên quan</t>
  </si>
  <si>
    <t>Chức năng cơ bản (Power On/Off, Speed 1/2/3)</t>
  </si>
  <si>
    <t>✅ Đã kiểm thử</t>
  </si>
  <si>
    <t>TC01–TC05</t>
  </si>
  <si>
    <t>Độ bền &amp; ổn định (30 phút, 5 lần bật tắt)</t>
  </si>
  <si>
    <t>TC06–TC08</t>
  </si>
  <si>
    <t>An toàn vật lý (lồng bảo vệ, tiếng ồn)</t>
  </si>
  <si>
    <t>TC09–TC10</t>
  </si>
  <si>
    <t>Môi trường &amp; điều kiện đặc biệt (ổ nối dài, tuốc năng)</t>
  </si>
  <si>
    <t>TC11–TC12</t>
  </si>
  <si>
    <t>Edge case AI bỏ sót (mất điện, vật cản, dây điện)</t>
  </si>
  <si>
    <t>TC13–TC15</t>
  </si>
  <si>
    <t>G9.3 CLO</t>
  </si>
  <si>
    <t>Video demo (≥5 bắt buộc)</t>
  </si>
  <si>
    <t>✅ 5/5 video</t>
  </si>
  <si>
    <t>TC01,02,03,05,09</t>
  </si>
  <si>
    <t>YouTube Unlisted</t>
  </si>
  <si>
    <t>Defect log GitHub Issues</t>
  </si>
  <si>
    <t>✅ 5 issues</t>
  </si>
  <si>
    <t>DFT-01 → DFT-05</t>
  </si>
  <si>
    <t>1 Critical + 2 High</t>
  </si>
  <si>
    <t>KẾT LUẬN KIỂM THỬ</t>
  </si>
  <si>
    <t>Thiết bị Quạt Lờ Senko L1638 đạt yêu cầu về các chức năng cơ bản: bật/tắt, chuyển 3 tốc độ, ổn định nhiệt sau 30 phút, không có hiện tượng quá tải trong điều kiện bình thường (Pass rate: 10/15 = 66.7%). Tuy nhiên phát hiện 5 defect trong quá trình kiểm thử, trong đó DFT-05 (dây nguồn lỏng, cách điện hở 220V) là CRITICAL — nguy cơ điện giật trực tiếp, cần ngừng sử dụng và gửi bảo hành ngay. DFT-01 (lồng bảo vệ lỏng) và DFT-03 (tuốc năng hỏng hoàn toàn) là HIGH — ảnh hưởng an toàn và chức năng chính. Khuyến nghị: gửi bảo hành thiết bị (còn trong thời hạn 24 tháng từ 09/2024).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</si>
</sst>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EAF1FB"/>
      </patternFill>
    </fill>
    <fill>
      <patternFill patternType="solid">
        <fgColor rgb="FFFCE5CD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5" borderId="2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RowHeight="14.4" x14ac:dyDescent="0.3"/>
  <cols>
    <col min="1" max="1" width="15" customWidth="1"/>
    <col min="2" max="2" width="35" customWidth="1"/>
    <col min="3" max="3" width="30" customWidth="1"/>
    <col min="4" max="6" width="45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43.2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43.2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28.8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spans="1:7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13</v>
      </c>
    </row>
    <row r="8" spans="1:7" ht="28.8" x14ac:dyDescent="0.3">
      <c r="A8" s="2" t="s">
        <v>44</v>
      </c>
      <c r="B8" s="2" t="s">
        <v>45</v>
      </c>
      <c r="C8" s="2" t="s">
        <v>40</v>
      </c>
      <c r="D8" s="2" t="s">
        <v>46</v>
      </c>
      <c r="E8" s="2" t="s">
        <v>47</v>
      </c>
      <c r="F8" s="2" t="s">
        <v>48</v>
      </c>
      <c r="G8" s="2" t="s">
        <v>13</v>
      </c>
    </row>
    <row r="9" spans="1:7" x14ac:dyDescent="0.3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13</v>
      </c>
    </row>
    <row r="10" spans="1:7" ht="28.8" x14ac:dyDescent="0.3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x14ac:dyDescent="0.3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61</v>
      </c>
    </row>
    <row r="12" spans="1:7" ht="28.8" x14ac:dyDescent="0.3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13</v>
      </c>
    </row>
    <row r="13" spans="1:7" x14ac:dyDescent="0.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61</v>
      </c>
    </row>
    <row r="14" spans="1:7" ht="28.8" x14ac:dyDescent="0.3">
      <c r="A14" s="2" t="s">
        <v>80</v>
      </c>
      <c r="B14" s="2" t="s">
        <v>81</v>
      </c>
      <c r="C14" s="2" t="s">
        <v>40</v>
      </c>
      <c r="D14" s="2" t="s">
        <v>82</v>
      </c>
      <c r="E14" s="2" t="s">
        <v>83</v>
      </c>
      <c r="F14" s="2" t="s">
        <v>84</v>
      </c>
      <c r="G14" s="2" t="s">
        <v>13</v>
      </c>
    </row>
    <row r="15" spans="1:7" ht="28.8" x14ac:dyDescent="0.3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61</v>
      </c>
    </row>
    <row r="16" spans="1:7" x14ac:dyDescent="0.3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>
      <pane ySplit="1" topLeftCell="A34" activePane="bottomLeft" state="frozen"/>
      <selection pane="bottomLeft"/>
    </sheetView>
  </sheetViews>
  <sheetFormatPr defaultRowHeight="14.4" x14ac:dyDescent="0.3"/>
  <cols>
    <col min="1" max="1" width="6" customWidth="1"/>
    <col min="2" max="2" width="52" customWidth="1"/>
    <col min="3" max="3" width="18" customWidth="1"/>
    <col min="4" max="4" width="22" customWidth="1"/>
    <col min="5" max="5" width="35" customWidth="1"/>
  </cols>
  <sheetData>
    <row r="1" spans="1:5" ht="30" customHeight="1" x14ac:dyDescent="0.3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</row>
    <row r="2" spans="1:5" ht="22.05" customHeight="1" x14ac:dyDescent="0.3">
      <c r="A2" s="17" t="s">
        <v>102</v>
      </c>
      <c r="B2" s="18"/>
      <c r="C2" s="18"/>
      <c r="D2" s="18"/>
      <c r="E2" s="18"/>
    </row>
    <row r="3" spans="1:5" ht="22.05" customHeight="1" x14ac:dyDescent="0.3">
      <c r="A3" s="4">
        <v>1</v>
      </c>
      <c r="B3" s="5" t="s">
        <v>103</v>
      </c>
      <c r="C3" s="4" t="s">
        <v>104</v>
      </c>
      <c r="D3" s="6" t="s">
        <v>105</v>
      </c>
      <c r="E3" s="5"/>
    </row>
    <row r="4" spans="1:5" ht="22.05" customHeight="1" x14ac:dyDescent="0.3">
      <c r="A4" s="4">
        <v>2</v>
      </c>
      <c r="B4" s="5" t="s">
        <v>106</v>
      </c>
      <c r="C4" s="4" t="s">
        <v>104</v>
      </c>
      <c r="D4" s="6" t="s">
        <v>105</v>
      </c>
      <c r="E4" s="5" t="s">
        <v>107</v>
      </c>
    </row>
    <row r="5" spans="1:5" ht="22.05" customHeight="1" x14ac:dyDescent="0.3">
      <c r="A5" s="4">
        <v>3</v>
      </c>
      <c r="B5" s="5" t="s">
        <v>108</v>
      </c>
      <c r="C5" s="4" t="s">
        <v>104</v>
      </c>
      <c r="D5" s="6" t="s">
        <v>105</v>
      </c>
      <c r="E5" s="5" t="s">
        <v>109</v>
      </c>
    </row>
    <row r="6" spans="1:5" ht="22.05" customHeight="1" x14ac:dyDescent="0.3">
      <c r="A6" s="4">
        <v>4</v>
      </c>
      <c r="B6" s="5" t="s">
        <v>110</v>
      </c>
      <c r="C6" s="4" t="s">
        <v>104</v>
      </c>
      <c r="D6" s="6" t="s">
        <v>105</v>
      </c>
      <c r="E6" s="5" t="s">
        <v>111</v>
      </c>
    </row>
    <row r="7" spans="1:5" ht="22.05" customHeight="1" x14ac:dyDescent="0.3">
      <c r="A7" s="4">
        <v>5</v>
      </c>
      <c r="B7" s="5" t="s">
        <v>112</v>
      </c>
      <c r="C7" s="4" t="s">
        <v>104</v>
      </c>
      <c r="D7" s="6" t="s">
        <v>105</v>
      </c>
      <c r="E7" s="5" t="s">
        <v>113</v>
      </c>
    </row>
    <row r="8" spans="1:5" ht="22.05" customHeight="1" x14ac:dyDescent="0.3">
      <c r="A8" s="4">
        <v>6</v>
      </c>
      <c r="B8" s="5" t="s">
        <v>114</v>
      </c>
      <c r="C8" s="4" t="s">
        <v>104</v>
      </c>
      <c r="D8" s="6" t="s">
        <v>105</v>
      </c>
      <c r="E8" s="5" t="s">
        <v>115</v>
      </c>
    </row>
    <row r="9" spans="1:5" ht="22.05" customHeight="1" x14ac:dyDescent="0.3">
      <c r="A9" s="4">
        <v>7</v>
      </c>
      <c r="B9" s="5" t="s">
        <v>116</v>
      </c>
      <c r="C9" s="4" t="s">
        <v>104</v>
      </c>
      <c r="D9" s="6" t="s">
        <v>105</v>
      </c>
      <c r="E9" s="5" t="s">
        <v>117</v>
      </c>
    </row>
    <row r="10" spans="1:5" ht="22.05" customHeight="1" x14ac:dyDescent="0.3">
      <c r="A10" s="4">
        <v>8</v>
      </c>
      <c r="B10" s="5" t="s">
        <v>118</v>
      </c>
      <c r="C10" s="4" t="s">
        <v>104</v>
      </c>
      <c r="D10" s="6" t="s">
        <v>105</v>
      </c>
      <c r="E10" s="5"/>
    </row>
    <row r="11" spans="1:5" ht="22.05" customHeight="1" x14ac:dyDescent="0.3">
      <c r="A11" s="17" t="s">
        <v>119</v>
      </c>
      <c r="B11" s="18"/>
      <c r="C11" s="18"/>
      <c r="D11" s="18"/>
      <c r="E11" s="18"/>
    </row>
    <row r="12" spans="1:5" ht="22.05" customHeight="1" x14ac:dyDescent="0.3">
      <c r="A12" s="7" t="s">
        <v>120</v>
      </c>
      <c r="B12" s="5" t="s">
        <v>121</v>
      </c>
      <c r="C12" s="4" t="s">
        <v>122</v>
      </c>
      <c r="D12" s="3" t="s">
        <v>123</v>
      </c>
      <c r="E12" s="5"/>
    </row>
    <row r="13" spans="1:5" ht="22.05" customHeight="1" x14ac:dyDescent="0.3">
      <c r="A13" s="7" t="s">
        <v>124</v>
      </c>
      <c r="B13" s="5" t="s">
        <v>125</v>
      </c>
      <c r="C13" s="4" t="s">
        <v>122</v>
      </c>
      <c r="D13" s="3" t="s">
        <v>123</v>
      </c>
      <c r="E13" s="5"/>
    </row>
    <row r="14" spans="1:5" ht="22.05" customHeight="1" x14ac:dyDescent="0.3">
      <c r="A14" s="7" t="s">
        <v>126</v>
      </c>
      <c r="B14" s="5" t="s">
        <v>127</v>
      </c>
      <c r="C14" s="4" t="s">
        <v>122</v>
      </c>
      <c r="D14" s="3" t="s">
        <v>123</v>
      </c>
      <c r="E14" s="5" t="s">
        <v>128</v>
      </c>
    </row>
    <row r="15" spans="1:5" ht="22.05" customHeight="1" x14ac:dyDescent="0.3">
      <c r="A15" s="7" t="s">
        <v>26</v>
      </c>
      <c r="B15" s="5" t="s">
        <v>129</v>
      </c>
      <c r="C15" s="4" t="s">
        <v>122</v>
      </c>
      <c r="D15" s="3" t="s">
        <v>123</v>
      </c>
      <c r="E15" s="5" t="s">
        <v>130</v>
      </c>
    </row>
    <row r="16" spans="1:5" ht="22.05" customHeight="1" x14ac:dyDescent="0.3">
      <c r="A16" s="7" t="s">
        <v>131</v>
      </c>
      <c r="B16" s="5" t="s">
        <v>132</v>
      </c>
      <c r="C16" s="4" t="s">
        <v>122</v>
      </c>
      <c r="D16" s="3" t="s">
        <v>123</v>
      </c>
      <c r="E16" s="5"/>
    </row>
    <row r="17" spans="1:5" ht="22.05" customHeight="1" x14ac:dyDescent="0.3">
      <c r="A17" s="7" t="s">
        <v>38</v>
      </c>
      <c r="B17" s="5" t="s">
        <v>133</v>
      </c>
      <c r="C17" s="4" t="s">
        <v>122</v>
      </c>
      <c r="D17" s="3" t="s">
        <v>123</v>
      </c>
      <c r="E17" s="5" t="s">
        <v>134</v>
      </c>
    </row>
    <row r="18" spans="1:5" ht="22.05" customHeight="1" x14ac:dyDescent="0.3">
      <c r="A18" s="7" t="s">
        <v>44</v>
      </c>
      <c r="B18" s="5" t="s">
        <v>135</v>
      </c>
      <c r="C18" s="4" t="s">
        <v>122</v>
      </c>
      <c r="D18" s="3" t="s">
        <v>123</v>
      </c>
      <c r="E18" s="5"/>
    </row>
    <row r="19" spans="1:5" ht="22.05" customHeight="1" x14ac:dyDescent="0.3">
      <c r="A19" s="7" t="s">
        <v>49</v>
      </c>
      <c r="B19" s="5" t="s">
        <v>136</v>
      </c>
      <c r="C19" s="4" t="s">
        <v>122</v>
      </c>
      <c r="D19" s="3" t="s">
        <v>123</v>
      </c>
      <c r="E19" s="5"/>
    </row>
    <row r="20" spans="1:5" ht="22.05" customHeight="1" x14ac:dyDescent="0.3">
      <c r="A20" s="7" t="s">
        <v>137</v>
      </c>
      <c r="B20" s="5" t="s">
        <v>138</v>
      </c>
      <c r="C20" s="4" t="s">
        <v>122</v>
      </c>
      <c r="D20" s="8" t="s">
        <v>139</v>
      </c>
      <c r="E20" s="5" t="s">
        <v>140</v>
      </c>
    </row>
    <row r="21" spans="1:5" ht="22.05" customHeight="1" x14ac:dyDescent="0.3">
      <c r="A21" s="7" t="s">
        <v>62</v>
      </c>
      <c r="B21" s="5" t="s">
        <v>141</v>
      </c>
      <c r="C21" s="4" t="s">
        <v>122</v>
      </c>
      <c r="D21" s="8" t="s">
        <v>139</v>
      </c>
      <c r="E21" s="5" t="s">
        <v>142</v>
      </c>
    </row>
    <row r="22" spans="1:5" ht="22.05" customHeight="1" x14ac:dyDescent="0.3">
      <c r="A22" s="7" t="s">
        <v>68</v>
      </c>
      <c r="B22" s="5" t="s">
        <v>143</v>
      </c>
      <c r="C22" s="4" t="s">
        <v>122</v>
      </c>
      <c r="D22" s="3" t="s">
        <v>123</v>
      </c>
      <c r="E22" s="5"/>
    </row>
    <row r="23" spans="1:5" ht="22.05" customHeight="1" x14ac:dyDescent="0.3">
      <c r="A23" s="7" t="s">
        <v>74</v>
      </c>
      <c r="B23" s="5" t="s">
        <v>144</v>
      </c>
      <c r="C23" s="4" t="s">
        <v>122</v>
      </c>
      <c r="D23" s="8" t="s">
        <v>139</v>
      </c>
      <c r="E23" s="5" t="s">
        <v>145</v>
      </c>
    </row>
    <row r="24" spans="1:5" ht="22.05" customHeight="1" x14ac:dyDescent="0.3">
      <c r="A24" s="7" t="s">
        <v>80</v>
      </c>
      <c r="B24" s="5" t="s">
        <v>146</v>
      </c>
      <c r="C24" s="4" t="s">
        <v>122</v>
      </c>
      <c r="D24" s="3" t="s">
        <v>123</v>
      </c>
      <c r="E24" s="5"/>
    </row>
    <row r="25" spans="1:5" ht="22.05" customHeight="1" x14ac:dyDescent="0.3">
      <c r="A25" s="7" t="s">
        <v>85</v>
      </c>
      <c r="B25" s="5" t="s">
        <v>147</v>
      </c>
      <c r="C25" s="4" t="s">
        <v>122</v>
      </c>
      <c r="D25" s="8" t="s">
        <v>139</v>
      </c>
      <c r="E25" s="5" t="s">
        <v>148</v>
      </c>
    </row>
    <row r="26" spans="1:5" ht="22.05" customHeight="1" x14ac:dyDescent="0.3">
      <c r="A26" s="7" t="s">
        <v>91</v>
      </c>
      <c r="B26" s="5" t="s">
        <v>149</v>
      </c>
      <c r="C26" s="4" t="s">
        <v>122</v>
      </c>
      <c r="D26" s="8" t="s">
        <v>139</v>
      </c>
      <c r="E26" s="5" t="s">
        <v>150</v>
      </c>
    </row>
    <row r="27" spans="1:5" ht="22.05" customHeight="1" x14ac:dyDescent="0.3">
      <c r="A27" s="17" t="s">
        <v>151</v>
      </c>
      <c r="B27" s="18"/>
      <c r="C27" s="18"/>
      <c r="D27" s="18"/>
      <c r="E27" s="18"/>
    </row>
    <row r="28" spans="1:5" ht="22.05" customHeight="1" x14ac:dyDescent="0.3">
      <c r="A28" s="7" t="s">
        <v>152</v>
      </c>
      <c r="B28" s="5" t="s">
        <v>153</v>
      </c>
      <c r="C28" s="4" t="s">
        <v>154</v>
      </c>
      <c r="D28" s="6" t="s">
        <v>105</v>
      </c>
      <c r="E28" s="5" t="s">
        <v>155</v>
      </c>
    </row>
    <row r="29" spans="1:5" ht="22.05" customHeight="1" x14ac:dyDescent="0.3">
      <c r="A29" s="7" t="s">
        <v>156</v>
      </c>
      <c r="B29" s="5" t="s">
        <v>157</v>
      </c>
      <c r="C29" s="4" t="s">
        <v>154</v>
      </c>
      <c r="D29" s="6" t="s">
        <v>105</v>
      </c>
      <c r="E29" s="5" t="s">
        <v>158</v>
      </c>
    </row>
    <row r="30" spans="1:5" ht="22.05" customHeight="1" x14ac:dyDescent="0.3">
      <c r="A30" s="7" t="s">
        <v>159</v>
      </c>
      <c r="B30" s="5" t="s">
        <v>160</v>
      </c>
      <c r="C30" s="4" t="s">
        <v>154</v>
      </c>
      <c r="D30" s="6" t="s">
        <v>105</v>
      </c>
      <c r="E30" s="5" t="s">
        <v>161</v>
      </c>
    </row>
    <row r="31" spans="1:5" ht="22.05" customHeight="1" x14ac:dyDescent="0.3">
      <c r="A31" s="7" t="s">
        <v>162</v>
      </c>
      <c r="B31" s="5" t="s">
        <v>163</v>
      </c>
      <c r="C31" s="4" t="s">
        <v>154</v>
      </c>
      <c r="D31" s="6" t="s">
        <v>105</v>
      </c>
      <c r="E31" s="5" t="s">
        <v>164</v>
      </c>
    </row>
    <row r="32" spans="1:5" ht="22.05" customHeight="1" x14ac:dyDescent="0.3">
      <c r="A32" s="7" t="s">
        <v>165</v>
      </c>
      <c r="B32" s="5" t="s">
        <v>166</v>
      </c>
      <c r="C32" s="4" t="s">
        <v>154</v>
      </c>
      <c r="D32" s="6" t="s">
        <v>105</v>
      </c>
      <c r="E32" s="5" t="s">
        <v>167</v>
      </c>
    </row>
    <row r="33" spans="1:5" ht="22.05" customHeight="1" x14ac:dyDescent="0.3">
      <c r="A33" s="17" t="s">
        <v>168</v>
      </c>
      <c r="B33" s="18"/>
      <c r="C33" s="18"/>
      <c r="D33" s="18"/>
      <c r="E33" s="18"/>
    </row>
    <row r="34" spans="1:5" ht="22.05" customHeight="1" x14ac:dyDescent="0.3">
      <c r="A34" s="7" t="s">
        <v>169</v>
      </c>
      <c r="B34" s="5" t="s">
        <v>170</v>
      </c>
      <c r="C34" s="4" t="s">
        <v>171</v>
      </c>
      <c r="D34" s="6" t="s">
        <v>172</v>
      </c>
      <c r="E34" s="5" t="s">
        <v>173</v>
      </c>
    </row>
    <row r="35" spans="1:5" ht="22.05" customHeight="1" x14ac:dyDescent="0.3">
      <c r="A35" s="7" t="s">
        <v>174</v>
      </c>
      <c r="B35" s="5" t="s">
        <v>175</v>
      </c>
      <c r="C35" s="4" t="s">
        <v>171</v>
      </c>
      <c r="D35" s="6" t="s">
        <v>172</v>
      </c>
      <c r="E35" s="5" t="s">
        <v>176</v>
      </c>
    </row>
    <row r="36" spans="1:5" ht="22.05" customHeight="1" x14ac:dyDescent="0.3">
      <c r="A36" s="7" t="s">
        <v>177</v>
      </c>
      <c r="B36" s="5" t="s">
        <v>178</v>
      </c>
      <c r="C36" s="4" t="s">
        <v>171</v>
      </c>
      <c r="D36" s="6" t="s">
        <v>172</v>
      </c>
      <c r="E36" s="5" t="s">
        <v>179</v>
      </c>
    </row>
    <row r="37" spans="1:5" ht="22.05" customHeight="1" x14ac:dyDescent="0.3">
      <c r="A37" s="7" t="s">
        <v>180</v>
      </c>
      <c r="B37" s="5" t="s">
        <v>181</v>
      </c>
      <c r="C37" s="4" t="s">
        <v>171</v>
      </c>
      <c r="D37" s="6" t="s">
        <v>172</v>
      </c>
      <c r="E37" s="5" t="s">
        <v>182</v>
      </c>
    </row>
    <row r="38" spans="1:5" ht="22.05" customHeight="1" x14ac:dyDescent="0.3">
      <c r="A38" s="7" t="s">
        <v>183</v>
      </c>
      <c r="B38" s="5" t="s">
        <v>184</v>
      </c>
      <c r="C38" s="4" t="s">
        <v>171</v>
      </c>
      <c r="D38" s="6" t="s">
        <v>172</v>
      </c>
      <c r="E38" s="5" t="s">
        <v>185</v>
      </c>
    </row>
    <row r="39" spans="1:5" ht="22.05" customHeight="1" x14ac:dyDescent="0.3">
      <c r="A39" s="17" t="s">
        <v>186</v>
      </c>
      <c r="B39" s="18"/>
      <c r="C39" s="18"/>
      <c r="D39" s="18"/>
      <c r="E39" s="18"/>
    </row>
    <row r="40" spans="1:5" ht="22.05" customHeight="1" x14ac:dyDescent="0.3">
      <c r="A40" s="4">
        <v>34</v>
      </c>
      <c r="B40" s="5" t="s">
        <v>187</v>
      </c>
      <c r="C40" s="4" t="s">
        <v>188</v>
      </c>
      <c r="D40" s="6" t="s">
        <v>105</v>
      </c>
      <c r="E40" s="5"/>
    </row>
    <row r="41" spans="1:5" ht="22.05" customHeight="1" x14ac:dyDescent="0.3">
      <c r="A41" s="4">
        <v>35</v>
      </c>
      <c r="B41" s="5" t="s">
        <v>189</v>
      </c>
      <c r="C41" s="4" t="s">
        <v>188</v>
      </c>
      <c r="D41" s="6" t="s">
        <v>105</v>
      </c>
      <c r="E41" s="5" t="s">
        <v>190</v>
      </c>
    </row>
    <row r="42" spans="1:5" ht="22.05" customHeight="1" x14ac:dyDescent="0.3">
      <c r="A42" s="4">
        <v>36</v>
      </c>
      <c r="B42" s="5" t="s">
        <v>191</v>
      </c>
      <c r="C42" s="4" t="s">
        <v>188</v>
      </c>
      <c r="D42" s="6" t="s">
        <v>105</v>
      </c>
      <c r="E42" s="5" t="s">
        <v>192</v>
      </c>
    </row>
    <row r="43" spans="1:5" ht="22.05" customHeight="1" x14ac:dyDescent="0.3">
      <c r="A43" s="4">
        <v>37</v>
      </c>
      <c r="B43" s="5" t="s">
        <v>193</v>
      </c>
      <c r="C43" s="4" t="s">
        <v>188</v>
      </c>
      <c r="D43" s="6" t="s">
        <v>105</v>
      </c>
      <c r="E43" s="5" t="s">
        <v>194</v>
      </c>
    </row>
    <row r="44" spans="1:5" ht="22.05" customHeight="1" x14ac:dyDescent="0.3">
      <c r="A44" s="4">
        <v>38</v>
      </c>
      <c r="B44" s="5" t="s">
        <v>195</v>
      </c>
      <c r="C44" s="4" t="s">
        <v>188</v>
      </c>
      <c r="D44" s="6" t="s">
        <v>105</v>
      </c>
      <c r="E44" s="5" t="s">
        <v>196</v>
      </c>
    </row>
  </sheetData>
  <mergeCells count="5">
    <mergeCell ref="A39:E39"/>
    <mergeCell ref="A2:E2"/>
    <mergeCell ref="A33:E33"/>
    <mergeCell ref="A11:E1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tabSelected="1" workbookViewId="0">
      <pane ySplit="1" topLeftCell="A29" activePane="bottomLeft" state="frozen"/>
      <selection pane="bottomLeft" sqref="A1:E1"/>
    </sheetView>
  </sheetViews>
  <sheetFormatPr defaultRowHeight="14.4" x14ac:dyDescent="0.3"/>
  <cols>
    <col min="1" max="1" width="35" customWidth="1"/>
    <col min="2" max="5" width="22" customWidth="1"/>
  </cols>
  <sheetData>
    <row r="1" spans="1:5" ht="31.95" customHeight="1" x14ac:dyDescent="0.3">
      <c r="A1" s="21" t="s">
        <v>197</v>
      </c>
      <c r="B1" s="22"/>
      <c r="C1" s="22"/>
      <c r="D1" s="22"/>
      <c r="E1" s="23"/>
    </row>
    <row r="2" spans="1:5" ht="19.95" customHeight="1" x14ac:dyDescent="0.3">
      <c r="A2" s="9" t="s">
        <v>198</v>
      </c>
      <c r="B2" s="19" t="s">
        <v>199</v>
      </c>
      <c r="C2" s="18"/>
      <c r="D2" s="18"/>
      <c r="E2" s="18"/>
    </row>
    <row r="3" spans="1:5" ht="19.95" customHeight="1" x14ac:dyDescent="0.3">
      <c r="A3" s="9" t="s">
        <v>200</v>
      </c>
      <c r="B3" s="19" t="s">
        <v>201</v>
      </c>
      <c r="C3" s="18"/>
      <c r="D3" s="18"/>
      <c r="E3" s="18"/>
    </row>
    <row r="4" spans="1:5" ht="19.95" customHeight="1" x14ac:dyDescent="0.3">
      <c r="A4" s="9" t="s">
        <v>202</v>
      </c>
      <c r="B4" s="19" t="s">
        <v>203</v>
      </c>
      <c r="C4" s="18"/>
      <c r="D4" s="18"/>
      <c r="E4" s="18"/>
    </row>
    <row r="5" spans="1:5" ht="19.95" customHeight="1" x14ac:dyDescent="0.3">
      <c r="A5" s="9" t="s">
        <v>204</v>
      </c>
      <c r="B5" s="19" t="s">
        <v>205</v>
      </c>
      <c r="C5" s="18"/>
      <c r="D5" s="18"/>
      <c r="E5" s="18"/>
    </row>
    <row r="6" spans="1:5" ht="19.95" customHeight="1" x14ac:dyDescent="0.3">
      <c r="A6" s="9" t="s">
        <v>206</v>
      </c>
      <c r="B6" s="19" t="s">
        <v>207</v>
      </c>
      <c r="C6" s="18"/>
      <c r="D6" s="18"/>
      <c r="E6" s="18"/>
    </row>
    <row r="7" spans="1:5" ht="19.95" customHeight="1" x14ac:dyDescent="0.3">
      <c r="A7" s="9" t="s">
        <v>208</v>
      </c>
      <c r="B7" s="19" t="s">
        <v>209</v>
      </c>
      <c r="C7" s="18"/>
      <c r="D7" s="18"/>
      <c r="E7" s="18"/>
    </row>
    <row r="8" spans="1:5" ht="19.95" customHeight="1" x14ac:dyDescent="0.3">
      <c r="A8" s="9" t="s">
        <v>210</v>
      </c>
      <c r="B8" s="19" t="s">
        <v>211</v>
      </c>
      <c r="C8" s="18"/>
      <c r="D8" s="18"/>
      <c r="E8" s="18"/>
    </row>
    <row r="9" spans="1:5" ht="19.95" customHeight="1" x14ac:dyDescent="0.3">
      <c r="A9" s="9" t="s">
        <v>212</v>
      </c>
      <c r="B9" s="19" t="s">
        <v>213</v>
      </c>
      <c r="C9" s="18"/>
      <c r="D9" s="18"/>
      <c r="E9" s="18"/>
    </row>
    <row r="11" spans="1:5" ht="25.05" customHeight="1" x14ac:dyDescent="0.3">
      <c r="A11" s="20" t="s">
        <v>214</v>
      </c>
      <c r="B11" s="18"/>
      <c r="C11" s="18"/>
      <c r="D11" s="18"/>
      <c r="E11" s="18"/>
    </row>
    <row r="12" spans="1:5" ht="25.05" customHeight="1" x14ac:dyDescent="0.3">
      <c r="A12" s="3" t="s">
        <v>215</v>
      </c>
      <c r="B12" s="3" t="s">
        <v>216</v>
      </c>
      <c r="C12" s="3" t="s">
        <v>217</v>
      </c>
      <c r="D12" s="21" t="s">
        <v>101</v>
      </c>
      <c r="E12" s="23"/>
    </row>
    <row r="13" spans="1:5" ht="22.05" customHeight="1" x14ac:dyDescent="0.3">
      <c r="A13" s="5" t="s">
        <v>218</v>
      </c>
      <c r="B13" s="4">
        <f>COUNTA('Test Cases'!A2:A16)</f>
        <v>15</v>
      </c>
      <c r="C13" s="4" t="s">
        <v>219</v>
      </c>
      <c r="D13" s="19" t="s">
        <v>220</v>
      </c>
      <c r="E13" s="18"/>
    </row>
    <row r="14" spans="1:5" ht="22.05" customHeight="1" x14ac:dyDescent="0.3">
      <c r="A14" s="5" t="s">
        <v>221</v>
      </c>
      <c r="B14" s="4">
        <f>COUNTA('Test Cases'!G2:G16)</f>
        <v>15</v>
      </c>
      <c r="C14" s="4" t="str">
        <f>TEXT(B14/B13,"0%")</f>
        <v>100%</v>
      </c>
      <c r="D14" s="19" t="s">
        <v>222</v>
      </c>
      <c r="E14" s="18"/>
    </row>
    <row r="15" spans="1:5" ht="22.05" customHeight="1" x14ac:dyDescent="0.3">
      <c r="A15" s="5" t="s">
        <v>223</v>
      </c>
      <c r="B15" s="6">
        <f>COUNTIF('Test Cases'!G2:G16,"PASS")</f>
        <v>10</v>
      </c>
      <c r="C15" s="4" t="str">
        <f>TEXT(B15/B13,"0.0%")</f>
        <v>66.7%</v>
      </c>
      <c r="D15" s="19" t="s">
        <v>224</v>
      </c>
      <c r="E15" s="18"/>
    </row>
    <row r="16" spans="1:5" ht="22.05" customHeight="1" x14ac:dyDescent="0.3">
      <c r="A16" s="5" t="s">
        <v>225</v>
      </c>
      <c r="B16" s="10">
        <f>COUNTIF('Test Cases'!G2:G16,"FAIL")</f>
        <v>5</v>
      </c>
      <c r="C16" s="4" t="str">
        <f>TEXT(B16/B13,"0.0%")</f>
        <v>33.3%</v>
      </c>
      <c r="D16" s="19" t="s">
        <v>226</v>
      </c>
      <c r="E16" s="18"/>
    </row>
    <row r="17" spans="1:5" ht="22.05" customHeight="1" x14ac:dyDescent="0.3">
      <c r="A17" s="5" t="s">
        <v>227</v>
      </c>
      <c r="B17" s="4" t="s">
        <v>228</v>
      </c>
      <c r="C17" s="4" t="str">
        <f>TEXT(B17/B13,"0.0%")</f>
        <v>0.0%</v>
      </c>
      <c r="D17" s="19" t="s">
        <v>229</v>
      </c>
      <c r="E17" s="18"/>
    </row>
    <row r="18" spans="1:5" ht="22.05" customHeight="1" x14ac:dyDescent="0.3">
      <c r="A18" s="11" t="s">
        <v>230</v>
      </c>
      <c r="B18" s="12">
        <f>B15/B13</f>
        <v>0.66666666666666663</v>
      </c>
      <c r="C18" s="4"/>
      <c r="D18" s="19" t="str">
        <f>TEXT(B15/B13,"0.0%")&amp;" Pass"</f>
        <v>66.7% Pass</v>
      </c>
      <c r="E18" s="18"/>
    </row>
    <row r="20" spans="1:5" ht="25.05" customHeight="1" x14ac:dyDescent="0.3">
      <c r="A20" s="20" t="s">
        <v>231</v>
      </c>
      <c r="B20" s="18"/>
      <c r="C20" s="18"/>
      <c r="D20" s="18"/>
      <c r="E20" s="18"/>
    </row>
    <row r="21" spans="1:5" ht="25.05" customHeight="1" x14ac:dyDescent="0.3">
      <c r="A21" s="3" t="s">
        <v>232</v>
      </c>
      <c r="B21" s="3" t="s">
        <v>233</v>
      </c>
      <c r="C21" s="3" t="s">
        <v>234</v>
      </c>
      <c r="D21" s="3" t="s">
        <v>100</v>
      </c>
      <c r="E21" s="3" t="s">
        <v>235</v>
      </c>
    </row>
    <row r="22" spans="1:5" ht="22.05" customHeight="1" x14ac:dyDescent="0.3">
      <c r="A22" s="7" t="s">
        <v>169</v>
      </c>
      <c r="B22" s="4" t="s">
        <v>137</v>
      </c>
      <c r="C22" s="13" t="s">
        <v>236</v>
      </c>
      <c r="D22" s="4" t="s">
        <v>237</v>
      </c>
      <c r="E22" s="5" t="s">
        <v>238</v>
      </c>
    </row>
    <row r="23" spans="1:5" ht="22.05" customHeight="1" x14ac:dyDescent="0.3">
      <c r="A23" s="7" t="s">
        <v>174</v>
      </c>
      <c r="B23" s="4" t="s">
        <v>62</v>
      </c>
      <c r="C23" s="14" t="s">
        <v>239</v>
      </c>
      <c r="D23" s="4" t="s">
        <v>237</v>
      </c>
      <c r="E23" s="5" t="s">
        <v>240</v>
      </c>
    </row>
    <row r="24" spans="1:5" ht="22.05" customHeight="1" x14ac:dyDescent="0.3">
      <c r="A24" s="7" t="s">
        <v>177</v>
      </c>
      <c r="B24" s="4" t="s">
        <v>74</v>
      </c>
      <c r="C24" s="13" t="s">
        <v>236</v>
      </c>
      <c r="D24" s="4" t="s">
        <v>237</v>
      </c>
      <c r="E24" s="5" t="s">
        <v>241</v>
      </c>
    </row>
    <row r="25" spans="1:5" ht="22.05" customHeight="1" x14ac:dyDescent="0.3">
      <c r="A25" s="7" t="s">
        <v>180</v>
      </c>
      <c r="B25" s="4" t="s">
        <v>85</v>
      </c>
      <c r="C25" s="14" t="s">
        <v>239</v>
      </c>
      <c r="D25" s="4" t="s">
        <v>237</v>
      </c>
      <c r="E25" s="5" t="s">
        <v>242</v>
      </c>
    </row>
    <row r="26" spans="1:5" ht="22.05" customHeight="1" x14ac:dyDescent="0.3">
      <c r="A26" s="7" t="s">
        <v>183</v>
      </c>
      <c r="B26" s="4" t="s">
        <v>91</v>
      </c>
      <c r="C26" s="8" t="s">
        <v>243</v>
      </c>
      <c r="D26" s="4" t="s">
        <v>237</v>
      </c>
      <c r="E26" s="5" t="s">
        <v>244</v>
      </c>
    </row>
    <row r="28" spans="1:5" ht="22.05" customHeight="1" x14ac:dyDescent="0.3">
      <c r="A28" s="24" t="s">
        <v>245</v>
      </c>
      <c r="B28" s="18"/>
      <c r="C28" s="18"/>
      <c r="D28" s="18"/>
      <c r="E28" s="18"/>
    </row>
    <row r="29" spans="1:5" ht="22.05" customHeight="1" x14ac:dyDescent="0.3">
      <c r="A29" s="5" t="s">
        <v>243</v>
      </c>
      <c r="B29" s="10">
        <v>1</v>
      </c>
      <c r="C29" s="19" t="s">
        <v>246</v>
      </c>
      <c r="D29" s="18"/>
      <c r="E29" s="18"/>
    </row>
    <row r="30" spans="1:5" ht="22.05" customHeight="1" x14ac:dyDescent="0.3">
      <c r="A30" s="5" t="s">
        <v>236</v>
      </c>
      <c r="B30" s="15">
        <v>2</v>
      </c>
      <c r="C30" s="19" t="s">
        <v>247</v>
      </c>
      <c r="D30" s="18"/>
      <c r="E30" s="18"/>
    </row>
    <row r="31" spans="1:5" ht="22.05" customHeight="1" x14ac:dyDescent="0.3">
      <c r="A31" s="5" t="s">
        <v>239</v>
      </c>
      <c r="B31" s="16">
        <v>2</v>
      </c>
      <c r="C31" s="19" t="s">
        <v>248</v>
      </c>
      <c r="D31" s="18"/>
      <c r="E31" s="18"/>
    </row>
    <row r="32" spans="1:5" ht="22.05" customHeight="1" x14ac:dyDescent="0.3">
      <c r="A32" s="5" t="s">
        <v>249</v>
      </c>
      <c r="B32" s="6">
        <v>0</v>
      </c>
      <c r="C32" s="19" t="s">
        <v>229</v>
      </c>
      <c r="D32" s="18"/>
      <c r="E32" s="18"/>
    </row>
    <row r="33" spans="1:5" ht="22.05" customHeight="1" x14ac:dyDescent="0.3">
      <c r="A33" s="11" t="s">
        <v>250</v>
      </c>
      <c r="B33" s="7">
        <v>5</v>
      </c>
      <c r="C33" s="19"/>
      <c r="D33" s="18"/>
      <c r="E33" s="18"/>
    </row>
    <row r="35" spans="1:5" ht="25.05" customHeight="1" x14ac:dyDescent="0.3">
      <c r="A35" s="20" t="s">
        <v>251</v>
      </c>
      <c r="B35" s="18"/>
      <c r="C35" s="18"/>
      <c r="D35" s="18"/>
      <c r="E35" s="18"/>
    </row>
    <row r="36" spans="1:5" ht="25.05" customHeight="1" x14ac:dyDescent="0.3">
      <c r="A36" s="3" t="s">
        <v>252</v>
      </c>
      <c r="B36" s="3" t="s">
        <v>100</v>
      </c>
      <c r="C36" s="3" t="s">
        <v>253</v>
      </c>
      <c r="D36" s="21" t="s">
        <v>101</v>
      </c>
      <c r="E36" s="23"/>
    </row>
    <row r="37" spans="1:5" ht="22.05" customHeight="1" x14ac:dyDescent="0.3">
      <c r="A37" s="5" t="s">
        <v>254</v>
      </c>
      <c r="B37" s="6" t="s">
        <v>255</v>
      </c>
      <c r="C37" s="4" t="s">
        <v>256</v>
      </c>
      <c r="D37" s="19"/>
      <c r="E37" s="18"/>
    </row>
    <row r="38" spans="1:5" ht="22.05" customHeight="1" x14ac:dyDescent="0.3">
      <c r="A38" s="5" t="s">
        <v>257</v>
      </c>
      <c r="B38" s="6" t="s">
        <v>255</v>
      </c>
      <c r="C38" s="4" t="s">
        <v>258</v>
      </c>
      <c r="D38" s="19"/>
      <c r="E38" s="18"/>
    </row>
    <row r="39" spans="1:5" ht="22.05" customHeight="1" x14ac:dyDescent="0.3">
      <c r="A39" s="5" t="s">
        <v>259</v>
      </c>
      <c r="B39" s="6" t="s">
        <v>255</v>
      </c>
      <c r="C39" s="4" t="s">
        <v>260</v>
      </c>
      <c r="D39" s="19"/>
      <c r="E39" s="18"/>
    </row>
    <row r="40" spans="1:5" ht="22.05" customHeight="1" x14ac:dyDescent="0.3">
      <c r="A40" s="5" t="s">
        <v>261</v>
      </c>
      <c r="B40" s="6" t="s">
        <v>255</v>
      </c>
      <c r="C40" s="4" t="s">
        <v>262</v>
      </c>
      <c r="D40" s="19"/>
      <c r="E40" s="18"/>
    </row>
    <row r="41" spans="1:5" ht="22.05" customHeight="1" x14ac:dyDescent="0.3">
      <c r="A41" s="5" t="s">
        <v>263</v>
      </c>
      <c r="B41" s="6" t="s">
        <v>255</v>
      </c>
      <c r="C41" s="4" t="s">
        <v>264</v>
      </c>
      <c r="D41" s="19" t="s">
        <v>265</v>
      </c>
      <c r="E41" s="18"/>
    </row>
    <row r="42" spans="1:5" ht="22.05" customHeight="1" x14ac:dyDescent="0.3">
      <c r="A42" s="5" t="s">
        <v>266</v>
      </c>
      <c r="B42" s="6" t="s">
        <v>267</v>
      </c>
      <c r="C42" s="4" t="s">
        <v>268</v>
      </c>
      <c r="D42" s="19" t="s">
        <v>269</v>
      </c>
      <c r="E42" s="18"/>
    </row>
    <row r="43" spans="1:5" ht="22.05" customHeight="1" x14ac:dyDescent="0.3">
      <c r="A43" s="5" t="s">
        <v>270</v>
      </c>
      <c r="B43" s="6" t="s">
        <v>271</v>
      </c>
      <c r="C43" s="4" t="s">
        <v>272</v>
      </c>
      <c r="D43" s="19" t="s">
        <v>273</v>
      </c>
      <c r="E43" s="18"/>
    </row>
    <row r="44" spans="1:5" ht="25.05" customHeight="1" x14ac:dyDescent="0.3">
      <c r="A44" s="20" t="s">
        <v>274</v>
      </c>
      <c r="B44" s="18"/>
      <c r="C44" s="18"/>
      <c r="D44" s="18"/>
      <c r="E44" s="18"/>
    </row>
    <row r="45" spans="1:5" ht="90" customHeight="1" x14ac:dyDescent="0.3">
      <c r="A45" s="19" t="s">
        <v>275</v>
      </c>
      <c r="B45" s="18"/>
      <c r="C45" s="18"/>
      <c r="D45" s="18"/>
      <c r="E45" s="18"/>
    </row>
  </sheetData>
  <mergeCells count="35">
    <mergeCell ref="A44:E44"/>
    <mergeCell ref="D42:E42"/>
    <mergeCell ref="D15:E15"/>
    <mergeCell ref="A28:E28"/>
    <mergeCell ref="D38:E38"/>
    <mergeCell ref="D14:E14"/>
    <mergeCell ref="C29:E29"/>
    <mergeCell ref="D39:E39"/>
    <mergeCell ref="C33:E33"/>
    <mergeCell ref="A35:E35"/>
    <mergeCell ref="B8:E8"/>
    <mergeCell ref="A20:E20"/>
    <mergeCell ref="A45:E45"/>
    <mergeCell ref="B5:E5"/>
    <mergeCell ref="D40:E40"/>
    <mergeCell ref="D36:E36"/>
    <mergeCell ref="B4:E4"/>
    <mergeCell ref="D13:E13"/>
    <mergeCell ref="B7:E7"/>
    <mergeCell ref="D41:E41"/>
    <mergeCell ref="D17:E17"/>
    <mergeCell ref="C32:E32"/>
    <mergeCell ref="D16:E16"/>
    <mergeCell ref="D43:E43"/>
    <mergeCell ref="D37:E37"/>
    <mergeCell ref="D18:E18"/>
    <mergeCell ref="C30:E30"/>
    <mergeCell ref="D12:E12"/>
    <mergeCell ref="B9:E9"/>
    <mergeCell ref="C31:E31"/>
    <mergeCell ref="B6:E6"/>
    <mergeCell ref="A11:E11"/>
    <mergeCell ref="A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Test Cases</vt:lpstr>
      <vt:lpstr>Checklist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VŨ NGỌC DUY</cp:lastModifiedBy>
  <dcterms:created xsi:type="dcterms:W3CDTF">2026-06-04T16:43:12Z</dcterms:created>
  <dcterms:modified xsi:type="dcterms:W3CDTF">2026-06-05T04:40:41Z</dcterms:modified>
</cp:coreProperties>
</file>